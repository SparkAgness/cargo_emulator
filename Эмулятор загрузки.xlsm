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texnoser\data\ВЭД\"/>
    </mc:Choice>
  </mc:AlternateContent>
  <xr:revisionPtr revIDLastSave="0" documentId="13_ncr:1_{430680BF-3E77-4328-B0C0-838BD5124E43}" xr6:coauthVersionLast="45" xr6:coauthVersionMax="45" xr10:uidLastSave="{00000000-0000-0000-0000-000000000000}"/>
  <bookViews>
    <workbookView xWindow="-120" yWindow="-120" windowWidth="38640" windowHeight="21240" activeTab="1" xr2:uid="{00000000-000D-0000-FFFF-FFFF00000000}"/>
  </bookViews>
  <sheets>
    <sheet name="Aux" sheetId="1" r:id="rId1"/>
    <sheet name="Truck_90cub_m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1" l="1"/>
  <c r="J5" i="1" l="1"/>
  <c r="I5" i="1"/>
  <c r="D5" i="1"/>
  <c r="C5" i="1" l="1"/>
  <c r="G16" i="1"/>
  <c r="F16" i="1"/>
  <c r="G13" i="1"/>
  <c r="G17" i="1" s="1"/>
  <c r="F13" i="1"/>
  <c r="F17" i="1" s="1"/>
  <c r="C17" i="1"/>
  <c r="B17" i="1"/>
  <c r="C16" i="1"/>
  <c r="C14" i="1"/>
  <c r="C15" i="1" s="1"/>
  <c r="E15" i="1" s="1"/>
  <c r="E16" i="1" s="1"/>
  <c r="B14" i="1"/>
  <c r="F14" i="1" s="1"/>
  <c r="E3" i="1"/>
  <c r="E4" i="1"/>
  <c r="E2" i="1"/>
  <c r="B15" i="1" l="1"/>
  <c r="D15" i="1" s="1"/>
  <c r="D16" i="1" s="1"/>
  <c r="G14" i="1"/>
  <c r="D14" i="1"/>
  <c r="E14" i="1"/>
  <c r="E13" i="1" l="1"/>
  <c r="D13" i="1"/>
  <c r="E17" i="1" l="1"/>
  <c r="G15" i="1"/>
  <c r="D17" i="1"/>
  <c r="F15" i="1"/>
</calcChain>
</file>

<file path=xl/sharedStrings.xml><?xml version="1.0" encoding="utf-8"?>
<sst xmlns="http://schemas.openxmlformats.org/spreadsheetml/2006/main" count="25" uniqueCount="17">
  <si>
    <t>Lengh</t>
  </si>
  <si>
    <t>Width</t>
  </si>
  <si>
    <t>Floor</t>
  </si>
  <si>
    <t>X</t>
  </si>
  <si>
    <t>Y</t>
  </si>
  <si>
    <t>View angle</t>
  </si>
  <si>
    <t>Truck_90cm</t>
  </si>
  <si>
    <t>Hight</t>
  </si>
  <si>
    <t>Scale</t>
  </si>
  <si>
    <t>Back_Stage</t>
  </si>
  <si>
    <t>Left_Stage</t>
  </si>
  <si>
    <t>1point(x, y)</t>
  </si>
  <si>
    <t>Cargo1</t>
  </si>
  <si>
    <t>Cargo2</t>
  </si>
  <si>
    <t>Length</t>
  </si>
  <si>
    <t>First_point</t>
  </si>
  <si>
    <t>Код защиты листа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</si>
</sst>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36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>
      <alignment horizontal="center"/>
    </xf>
    <xf numFmtId="0" fontId="0" fillId="2" borderId="0" xfId="0" applyFill="1" applyProtection="1">
      <protection locked="0"/>
    </xf>
    <xf numFmtId="0" fontId="0" fillId="3" borderId="0" xfId="0" applyFill="1" applyProtection="1">
      <protection hidden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457201</xdr:colOff>
      <xdr:row>0</xdr:row>
      <xdr:rowOff>1</xdr:rowOff>
    </xdr:to>
    <xdr:sp macro="" textlink="">
      <xdr:nvSpPr>
        <xdr:cNvPr id="14" name="Полилиния: фигур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0" y="0"/>
          <a:ext cx="2286001" cy="1"/>
        </a:xfrm>
        <a:custGeom>
          <a:avLst/>
          <a:gdLst/>
          <a:ahLst/>
          <a:cxnLst/>
          <a:rect l="0" t="0" r="0" b="0"/>
          <a:pathLst>
            <a:path w="2286001" h="1">
              <a:moveTo>
                <a:pt x="0" y="0"/>
              </a:moveTo>
              <a:lnTo>
                <a:pt x="2286000" y="0"/>
              </a:lnTo>
              <a:lnTo>
                <a:pt x="228600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457201</xdr:colOff>
      <xdr:row>0</xdr:row>
      <xdr:rowOff>1</xdr:rowOff>
    </xdr:to>
    <xdr:sp macro="" textlink="">
      <xdr:nvSpPr>
        <xdr:cNvPr id="15" name="Полилиния: фигур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0" y="0"/>
          <a:ext cx="2286001" cy="1"/>
        </a:xfrm>
        <a:custGeom>
          <a:avLst/>
          <a:gdLst/>
          <a:ahLst/>
          <a:cxnLst/>
          <a:rect l="0" t="0" r="0" b="0"/>
          <a:pathLst>
            <a:path w="2286001" h="1">
              <a:moveTo>
                <a:pt x="0" y="0"/>
              </a:moveTo>
              <a:lnTo>
                <a:pt x="2286000" y="0"/>
              </a:lnTo>
              <a:lnTo>
                <a:pt x="228600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457201</xdr:colOff>
      <xdr:row>0</xdr:row>
      <xdr:rowOff>1</xdr:rowOff>
    </xdr:to>
    <xdr:sp macro="" textlink="">
      <xdr:nvSpPr>
        <xdr:cNvPr id="16" name="Полилиния: фигура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0" y="0"/>
          <a:ext cx="2286001" cy="1"/>
        </a:xfrm>
        <a:custGeom>
          <a:avLst/>
          <a:gdLst/>
          <a:ahLst/>
          <a:cxnLst/>
          <a:rect l="0" t="0" r="0" b="0"/>
          <a:pathLst>
            <a:path w="2286001" h="1">
              <a:moveTo>
                <a:pt x="0" y="0"/>
              </a:moveTo>
              <a:lnTo>
                <a:pt x="2286000" y="0"/>
              </a:lnTo>
              <a:lnTo>
                <a:pt x="2286000" y="0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23" name="Полилиния: фигура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29" name="Полилиния: фигура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32" name="Полилиния: фигура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35" name="Полилиния: фигура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38" name="Полилиния: фигура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41" name="Полилиния: фигура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44" name="Полилиния: фигура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47" name="Полилиния: фигура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330200</xdr:colOff>
      <xdr:row>63</xdr:row>
      <xdr:rowOff>50800</xdr:rowOff>
    </xdr:from>
    <xdr:to>
      <xdr:col>13</xdr:col>
      <xdr:colOff>330201</xdr:colOff>
      <xdr:row>63</xdr:row>
      <xdr:rowOff>50801</xdr:rowOff>
    </xdr:to>
    <xdr:sp macro="" textlink="">
      <xdr:nvSpPr>
        <xdr:cNvPr id="59" name="Полилиния: фигура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8255000" y="12052300"/>
          <a:ext cx="1" cy="1"/>
        </a:xfrm>
        <a:custGeom>
          <a:avLst/>
          <a:gdLst/>
          <a:ahLst/>
          <a:cxnLst/>
          <a:rect l="0" t="0" r="0" b="0"/>
          <a:pathLst>
            <a:path w="1" h="1">
              <a:moveTo>
                <a:pt x="0" y="0"/>
              </a:moveTo>
              <a:lnTo>
                <a:pt x="0" y="0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142875</xdr:rowOff>
        </xdr:from>
        <xdr:to>
          <xdr:col>11</xdr:col>
          <xdr:colOff>571500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контейнер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2</xdr:row>
          <xdr:rowOff>28575</xdr:rowOff>
        </xdr:from>
        <xdr:to>
          <xdr:col>41</xdr:col>
          <xdr:colOff>47625</xdr:colOff>
          <xdr:row>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Поместить </a:t>
              </a:r>
            </a:p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Груз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19050</xdr:colOff>
          <xdr:row>2</xdr:row>
          <xdr:rowOff>19050</xdr:rowOff>
        </xdr:from>
        <xdr:to>
          <xdr:col>47</xdr:col>
          <xdr:colOff>19050</xdr:colOff>
          <xdr:row>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Поместить </a:t>
              </a:r>
            </a:p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Груз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0</xdr:rowOff>
        </xdr:from>
        <xdr:to>
          <xdr:col>5</xdr:col>
          <xdr:colOff>600075</xdr:colOff>
          <xdr:row>14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Упорядочить данные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23</xdr:row>
      <xdr:rowOff>114300</xdr:rowOff>
    </xdr:from>
    <xdr:to>
      <xdr:col>32</xdr:col>
      <xdr:colOff>38101</xdr:colOff>
      <xdr:row>100</xdr:row>
      <xdr:rowOff>1</xdr:rowOff>
    </xdr:to>
    <xdr:sp macro="" textlink="">
      <xdr:nvSpPr>
        <xdr:cNvPr id="2" name="Полилиния: фигура 1">
          <a:extLst>
            <a:ext uri="{FF2B5EF4-FFF2-40B4-BE49-F238E27FC236}">
              <a16:creationId xmlns:a16="http://schemas.microsoft.com/office/drawing/2014/main" id="{FB6A7C7A-7A49-4A6E-BCFD-DCF2F7433126}"/>
            </a:ext>
          </a:extLst>
        </xdr:cNvPr>
        <xdr:cNvSpPr/>
      </xdr:nvSpPr>
      <xdr:spPr>
        <a:xfrm>
          <a:off x="1270000" y="4495800"/>
          <a:ext cx="18275301" cy="14554201"/>
        </a:xfrm>
        <a:custGeom>
          <a:avLst/>
          <a:gdLst/>
          <a:ahLst/>
          <a:cxnLst/>
          <a:rect l="0" t="0" r="0" b="0"/>
          <a:pathLst>
            <a:path w="18275301" h="14554201">
              <a:moveTo>
                <a:pt x="0" y="14554200"/>
              </a:moveTo>
              <a:lnTo>
                <a:pt x="14541500" y="0"/>
              </a:lnTo>
              <a:lnTo>
                <a:pt x="18275300" y="0"/>
              </a:lnTo>
              <a:lnTo>
                <a:pt x="3733800" y="1455420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571500</xdr:colOff>
      <xdr:row>3</xdr:row>
      <xdr:rowOff>114300</xdr:rowOff>
    </xdr:from>
    <xdr:to>
      <xdr:col>32</xdr:col>
      <xdr:colOff>38101</xdr:colOff>
      <xdr:row>23</xdr:row>
      <xdr:rowOff>114301</xdr:rowOff>
    </xdr:to>
    <xdr:sp macro="" textlink="">
      <xdr:nvSpPr>
        <xdr:cNvPr id="3" name="Полилиния: фигура 2">
          <a:extLst>
            <a:ext uri="{FF2B5EF4-FFF2-40B4-BE49-F238E27FC236}">
              <a16:creationId xmlns:a16="http://schemas.microsoft.com/office/drawing/2014/main" id="{D3424253-B65C-497D-BB01-D58984B320E3}"/>
            </a:ext>
          </a:extLst>
        </xdr:cNvPr>
        <xdr:cNvSpPr/>
      </xdr:nvSpPr>
      <xdr:spPr>
        <a:xfrm>
          <a:off x="15811500" y="685800"/>
          <a:ext cx="3733801" cy="3810001"/>
        </a:xfrm>
        <a:custGeom>
          <a:avLst/>
          <a:gdLst/>
          <a:ahLst/>
          <a:cxnLst/>
          <a:rect l="0" t="0" r="0" b="0"/>
          <a:pathLst>
            <a:path w="3733801" h="3810001">
              <a:moveTo>
                <a:pt x="0" y="0"/>
              </a:moveTo>
              <a:lnTo>
                <a:pt x="0" y="3810000"/>
              </a:lnTo>
              <a:lnTo>
                <a:pt x="3733800" y="3810000"/>
              </a:lnTo>
              <a:lnTo>
                <a:pt x="3733800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50800</xdr:colOff>
      <xdr:row>3</xdr:row>
      <xdr:rowOff>114300</xdr:rowOff>
    </xdr:from>
    <xdr:to>
      <xdr:col>25</xdr:col>
      <xdr:colOff>571501</xdr:colOff>
      <xdr:row>100</xdr:row>
      <xdr:rowOff>1</xdr:rowOff>
    </xdr:to>
    <xdr:sp macro="" textlink="">
      <xdr:nvSpPr>
        <xdr:cNvPr id="4" name="Полилиния: фигура 3">
          <a:extLst>
            <a:ext uri="{FF2B5EF4-FFF2-40B4-BE49-F238E27FC236}">
              <a16:creationId xmlns:a16="http://schemas.microsoft.com/office/drawing/2014/main" id="{E64BBAA0-9DF5-419E-8590-134F32B44087}"/>
            </a:ext>
          </a:extLst>
        </xdr:cNvPr>
        <xdr:cNvSpPr/>
      </xdr:nvSpPr>
      <xdr:spPr>
        <a:xfrm>
          <a:off x="1270000" y="685800"/>
          <a:ext cx="14541501" cy="18364201"/>
        </a:xfrm>
        <a:custGeom>
          <a:avLst/>
          <a:gdLst/>
          <a:ahLst/>
          <a:cxnLst/>
          <a:rect l="0" t="0" r="0" b="0"/>
          <a:pathLst>
            <a:path w="14541501" h="18364201">
              <a:moveTo>
                <a:pt x="0" y="18364200"/>
              </a:moveTo>
              <a:lnTo>
                <a:pt x="14541500" y="3810000"/>
              </a:lnTo>
              <a:lnTo>
                <a:pt x="14541500" y="0"/>
              </a:lnTo>
              <a:lnTo>
                <a:pt x="0" y="1455420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520700</xdr:colOff>
      <xdr:row>7</xdr:row>
      <xdr:rowOff>114300</xdr:rowOff>
    </xdr:from>
    <xdr:to>
      <xdr:col>30</xdr:col>
      <xdr:colOff>419101</xdr:colOff>
      <xdr:row>51</xdr:row>
      <xdr:rowOff>165101</xdr:rowOff>
    </xdr:to>
    <xdr:sp macro="" textlink="">
      <xdr:nvSpPr>
        <xdr:cNvPr id="5" name="Полилиния: фигура 4">
          <a:extLst>
            <a:ext uri="{FF2B5EF4-FFF2-40B4-BE49-F238E27FC236}">
              <a16:creationId xmlns:a16="http://schemas.microsoft.com/office/drawing/2014/main" id="{106F04CE-B913-4E1B-88F7-7958E18355FA}"/>
            </a:ext>
          </a:extLst>
        </xdr:cNvPr>
        <xdr:cNvSpPr/>
      </xdr:nvSpPr>
      <xdr:spPr>
        <a:xfrm>
          <a:off x="13322300" y="1447800"/>
          <a:ext cx="5384801" cy="8432801"/>
        </a:xfrm>
        <a:custGeom>
          <a:avLst/>
          <a:gdLst/>
          <a:ahLst/>
          <a:cxnLst/>
          <a:rect l="0" t="0" r="0" b="0"/>
          <a:pathLst>
            <a:path w="5384801" h="8432801">
              <a:moveTo>
                <a:pt x="0" y="8432800"/>
              </a:moveTo>
              <a:lnTo>
                <a:pt x="0" y="5384800"/>
              </a:lnTo>
              <a:lnTo>
                <a:pt x="5384800" y="0"/>
              </a:lnTo>
              <a:lnTo>
                <a:pt x="5384800" y="304800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63500</xdr:colOff>
      <xdr:row>35</xdr:row>
      <xdr:rowOff>165100</xdr:rowOff>
    </xdr:from>
    <xdr:to>
      <xdr:col>21</xdr:col>
      <xdr:colOff>520701</xdr:colOff>
      <xdr:row>51</xdr:row>
      <xdr:rowOff>165101</xdr:rowOff>
    </xdr:to>
    <xdr:sp macro="" textlink="">
      <xdr:nvSpPr>
        <xdr:cNvPr id="6" name="Полилиния: фигура 5">
          <a:extLst>
            <a:ext uri="{FF2B5EF4-FFF2-40B4-BE49-F238E27FC236}">
              <a16:creationId xmlns:a16="http://schemas.microsoft.com/office/drawing/2014/main" id="{1F73CC88-82B0-435A-BA95-A9F147D90095}"/>
            </a:ext>
          </a:extLst>
        </xdr:cNvPr>
        <xdr:cNvSpPr/>
      </xdr:nvSpPr>
      <xdr:spPr>
        <a:xfrm>
          <a:off x="10426700" y="6832600"/>
          <a:ext cx="2895601" cy="3048001"/>
        </a:xfrm>
        <a:custGeom>
          <a:avLst/>
          <a:gdLst/>
          <a:ahLst/>
          <a:cxnLst/>
          <a:rect l="0" t="0" r="0" b="0"/>
          <a:pathLst>
            <a:path w="2895601" h="3048001">
              <a:moveTo>
                <a:pt x="2895600" y="3048000"/>
              </a:moveTo>
              <a:lnTo>
                <a:pt x="2895600" y="0"/>
              </a:lnTo>
              <a:lnTo>
                <a:pt x="0" y="0"/>
              </a:lnTo>
              <a:lnTo>
                <a:pt x="0" y="304800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63500</xdr:colOff>
      <xdr:row>7</xdr:row>
      <xdr:rowOff>114300</xdr:rowOff>
    </xdr:from>
    <xdr:to>
      <xdr:col>30</xdr:col>
      <xdr:colOff>419101</xdr:colOff>
      <xdr:row>35</xdr:row>
      <xdr:rowOff>165101</xdr:rowOff>
    </xdr:to>
    <xdr:sp macro="" textlink="">
      <xdr:nvSpPr>
        <xdr:cNvPr id="7" name="Полилиния: фигура 6">
          <a:extLst>
            <a:ext uri="{FF2B5EF4-FFF2-40B4-BE49-F238E27FC236}">
              <a16:creationId xmlns:a16="http://schemas.microsoft.com/office/drawing/2014/main" id="{9A42AE07-E89D-4953-A7A9-9B0DCE18D352}"/>
            </a:ext>
          </a:extLst>
        </xdr:cNvPr>
        <xdr:cNvSpPr/>
      </xdr:nvSpPr>
      <xdr:spPr>
        <a:xfrm>
          <a:off x="10426700" y="1447800"/>
          <a:ext cx="8280401" cy="5384801"/>
        </a:xfrm>
        <a:custGeom>
          <a:avLst/>
          <a:gdLst/>
          <a:ahLst/>
          <a:cxnLst/>
          <a:rect l="0" t="0" r="0" b="0"/>
          <a:pathLst>
            <a:path w="8280401" h="5384801">
              <a:moveTo>
                <a:pt x="0" y="5384800"/>
              </a:moveTo>
              <a:lnTo>
                <a:pt x="2895600" y="5384800"/>
              </a:lnTo>
              <a:lnTo>
                <a:pt x="8280400" y="0"/>
              </a:lnTo>
              <a:lnTo>
                <a:pt x="5384800" y="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258338</xdr:colOff>
      <xdr:row>25</xdr:row>
      <xdr:rowOff>101073</xdr:rowOff>
    </xdr:from>
    <xdr:to>
      <xdr:col>26</xdr:col>
      <xdr:colOff>410739</xdr:colOff>
      <xdr:row>40</xdr:row>
      <xdr:rowOff>108694</xdr:rowOff>
    </xdr:to>
    <xdr:sp macro="" textlink="">
      <xdr:nvSpPr>
        <xdr:cNvPr id="8" name="Полилиния: фигура 7">
          <a:extLst>
            <a:ext uri="{FF2B5EF4-FFF2-40B4-BE49-F238E27FC236}">
              <a16:creationId xmlns:a16="http://schemas.microsoft.com/office/drawing/2014/main" id="{66659B32-FB17-4F62-89A3-D37DE2309209}"/>
            </a:ext>
          </a:extLst>
        </xdr:cNvPr>
        <xdr:cNvSpPr/>
      </xdr:nvSpPr>
      <xdr:spPr>
        <a:xfrm>
          <a:off x="15498338" y="4863573"/>
          <a:ext cx="762001" cy="2865121"/>
        </a:xfrm>
        <a:custGeom>
          <a:avLst/>
          <a:gdLst/>
          <a:ahLst/>
          <a:cxnLst/>
          <a:rect l="0" t="0" r="0" b="0"/>
          <a:pathLst>
            <a:path w="762001" h="2865121">
              <a:moveTo>
                <a:pt x="0" y="2865120"/>
              </a:moveTo>
              <a:lnTo>
                <a:pt x="762000" y="2865120"/>
              </a:lnTo>
              <a:lnTo>
                <a:pt x="762000" y="0"/>
              </a:lnTo>
              <a:lnTo>
                <a:pt x="0" y="0"/>
              </a:lnTo>
              <a:close/>
            </a:path>
          </a:pathLst>
        </a:cu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410738</xdr:colOff>
      <xdr:row>8</xdr:row>
      <xdr:rowOff>106680</xdr:rowOff>
    </xdr:from>
    <xdr:to>
      <xdr:col>31</xdr:col>
      <xdr:colOff>571501</xdr:colOff>
      <xdr:row>40</xdr:row>
      <xdr:rowOff>108694</xdr:rowOff>
    </xdr:to>
    <xdr:sp macro="" textlink="">
      <xdr:nvSpPr>
        <xdr:cNvPr id="9" name="Полилиния: фигура 8">
          <a:extLst>
            <a:ext uri="{FF2B5EF4-FFF2-40B4-BE49-F238E27FC236}">
              <a16:creationId xmlns:a16="http://schemas.microsoft.com/office/drawing/2014/main" id="{8FBF33F9-CBCD-4563-B874-D4B23B4BE706}"/>
            </a:ext>
          </a:extLst>
        </xdr:cNvPr>
        <xdr:cNvSpPr/>
      </xdr:nvSpPr>
      <xdr:spPr>
        <a:xfrm>
          <a:off x="16260338" y="1630680"/>
          <a:ext cx="3208763" cy="6098014"/>
        </a:xfrm>
        <a:custGeom>
          <a:avLst/>
          <a:gdLst/>
          <a:ahLst/>
          <a:cxnLst/>
          <a:rect l="0" t="0" r="0" b="0"/>
          <a:pathLst>
            <a:path w="3208763" h="6098014">
              <a:moveTo>
                <a:pt x="0" y="6098013"/>
              </a:moveTo>
              <a:lnTo>
                <a:pt x="3208762" y="2865120"/>
              </a:lnTo>
              <a:lnTo>
                <a:pt x="3208762" y="0"/>
              </a:lnTo>
              <a:lnTo>
                <a:pt x="0" y="3232893"/>
              </a:lnTo>
              <a:close/>
            </a:path>
          </a:pathLst>
        </a:cu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258338</xdr:colOff>
      <xdr:row>8</xdr:row>
      <xdr:rowOff>106680</xdr:rowOff>
    </xdr:from>
    <xdr:to>
      <xdr:col>31</xdr:col>
      <xdr:colOff>571501</xdr:colOff>
      <xdr:row>25</xdr:row>
      <xdr:rowOff>101074</xdr:rowOff>
    </xdr:to>
    <xdr:sp macro="" textlink="">
      <xdr:nvSpPr>
        <xdr:cNvPr id="10" name="Полилиния: фигура 9">
          <a:extLst>
            <a:ext uri="{FF2B5EF4-FFF2-40B4-BE49-F238E27FC236}">
              <a16:creationId xmlns:a16="http://schemas.microsoft.com/office/drawing/2014/main" id="{D49C3EC9-0E6B-4C9B-B458-5811828B7B6B}"/>
            </a:ext>
          </a:extLst>
        </xdr:cNvPr>
        <xdr:cNvSpPr/>
      </xdr:nvSpPr>
      <xdr:spPr>
        <a:xfrm>
          <a:off x="15498338" y="1630680"/>
          <a:ext cx="3970763" cy="3232894"/>
        </a:xfrm>
        <a:custGeom>
          <a:avLst/>
          <a:gdLst/>
          <a:ahLst/>
          <a:cxnLst/>
          <a:rect l="0" t="0" r="0" b="0"/>
          <a:pathLst>
            <a:path w="3970763" h="3232894">
              <a:moveTo>
                <a:pt x="762000" y="3232893"/>
              </a:moveTo>
              <a:lnTo>
                <a:pt x="3970762" y="0"/>
              </a:lnTo>
              <a:lnTo>
                <a:pt x="3208762" y="0"/>
              </a:lnTo>
              <a:lnTo>
                <a:pt x="0" y="3232893"/>
              </a:lnTo>
              <a:close/>
            </a:path>
          </a:pathLst>
        </a:cu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17"/>
  <sheetViews>
    <sheetView workbookViewId="0">
      <selection activeCell="C4" sqref="C4"/>
    </sheetView>
  </sheetViews>
  <sheetFormatPr defaultRowHeight="15" x14ac:dyDescent="0.25"/>
  <cols>
    <col min="1" max="1" width="2" bestFit="1" customWidth="1"/>
    <col min="2" max="2" width="10.85546875" bestFit="1" customWidth="1"/>
    <col min="4" max="4" width="10.85546875" bestFit="1" customWidth="1"/>
    <col min="5" max="5" width="11.28515625" bestFit="1" customWidth="1"/>
    <col min="6" max="6" width="10.28515625" bestFit="1" customWidth="1"/>
    <col min="8" max="8" width="10.5703125" bestFit="1" customWidth="1"/>
  </cols>
  <sheetData>
    <row r="1" spans="1:10" x14ac:dyDescent="0.25">
      <c r="B1" t="s">
        <v>12</v>
      </c>
      <c r="E1" t="s">
        <v>6</v>
      </c>
      <c r="H1" t="s">
        <v>13</v>
      </c>
    </row>
    <row r="2" spans="1:10" x14ac:dyDescent="0.25">
      <c r="B2" s="3" t="s">
        <v>0</v>
      </c>
      <c r="C2" s="2">
        <v>5</v>
      </c>
      <c r="D2" s="1"/>
      <c r="E2" s="3" t="str">
        <f>B2</f>
        <v>Lengh</v>
      </c>
      <c r="F2" s="3">
        <v>13.5</v>
      </c>
      <c r="H2" s="3" t="s">
        <v>14</v>
      </c>
      <c r="I2" s="2">
        <v>3</v>
      </c>
      <c r="J2" s="1"/>
    </row>
    <row r="3" spans="1:10" x14ac:dyDescent="0.25">
      <c r="B3" s="3" t="s">
        <v>1</v>
      </c>
      <c r="C3" s="2">
        <v>1.9</v>
      </c>
      <c r="D3" s="1"/>
      <c r="E3" s="3" t="str">
        <f t="shared" ref="E3:E4" si="0">B3</f>
        <v>Width</v>
      </c>
      <c r="F3" s="3">
        <v>2.4500000000000002</v>
      </c>
      <c r="H3" s="3" t="s">
        <v>1</v>
      </c>
      <c r="I3" s="2">
        <v>0.5</v>
      </c>
      <c r="J3" s="1"/>
    </row>
    <row r="4" spans="1:10" x14ac:dyDescent="0.25">
      <c r="B4" s="3" t="s">
        <v>7</v>
      </c>
      <c r="C4" s="2">
        <v>2</v>
      </c>
      <c r="D4" s="1"/>
      <c r="E4" s="3" t="str">
        <f t="shared" si="0"/>
        <v>Hight</v>
      </c>
      <c r="F4" s="3">
        <v>2.5</v>
      </c>
      <c r="H4" s="3" t="s">
        <v>7</v>
      </c>
      <c r="I4" s="2">
        <v>1.88</v>
      </c>
      <c r="J4" s="1"/>
    </row>
    <row r="5" spans="1:10" x14ac:dyDescent="0.25">
      <c r="B5" s="3" t="s">
        <v>11</v>
      </c>
      <c r="C5" s="4">
        <f>INT(B13+(F2-C2)*COS(C7*PI()/180)*C8)</f>
        <v>821</v>
      </c>
      <c r="D5" s="4">
        <f>INT(C13-C8*(F2-C2)*SIN(C7*PI()/180))</f>
        <v>778</v>
      </c>
      <c r="E5" s="3"/>
      <c r="F5" s="3"/>
      <c r="H5" s="3" t="s">
        <v>15</v>
      </c>
      <c r="I5" s="4">
        <f>INT($B$13 + COS($C$7*PI()/180)*($F$2 - $C$2 - $I$2)*C8)</f>
        <v>566</v>
      </c>
      <c r="J5" s="4">
        <f>INT($C$13 - ($F$2 - $C$2-$I$2)*$C$8*SIN($C$7*PI()/180))</f>
        <v>1033</v>
      </c>
    </row>
    <row r="6" spans="1:10" x14ac:dyDescent="0.25">
      <c r="H6" s="3"/>
      <c r="I6" s="5" t="s">
        <v>3</v>
      </c>
      <c r="J6" s="5" t="s">
        <v>4</v>
      </c>
    </row>
    <row r="7" spans="1:10" x14ac:dyDescent="0.25">
      <c r="B7" s="3" t="s">
        <v>5</v>
      </c>
      <c r="C7" s="6">
        <v>45</v>
      </c>
    </row>
    <row r="8" spans="1:10" x14ac:dyDescent="0.25">
      <c r="B8" s="3" t="s">
        <v>8</v>
      </c>
      <c r="C8" s="6">
        <v>120</v>
      </c>
    </row>
    <row r="11" spans="1:10" x14ac:dyDescent="0.25">
      <c r="B11" s="3" t="s">
        <v>2</v>
      </c>
      <c r="C11" s="3"/>
      <c r="D11" s="3" t="s">
        <v>9</v>
      </c>
      <c r="E11" s="3"/>
      <c r="F11" s="3" t="s">
        <v>10</v>
      </c>
      <c r="G11" s="3"/>
    </row>
    <row r="12" spans="1:10" x14ac:dyDescent="0.25">
      <c r="B12" s="5" t="s">
        <v>3</v>
      </c>
      <c r="C12" s="5" t="s">
        <v>4</v>
      </c>
      <c r="D12" s="5" t="s">
        <v>3</v>
      </c>
      <c r="E12" s="5" t="s">
        <v>4</v>
      </c>
      <c r="F12" s="5" t="s">
        <v>3</v>
      </c>
      <c r="G12" s="5" t="s">
        <v>4</v>
      </c>
    </row>
    <row r="13" spans="1:10" x14ac:dyDescent="0.25">
      <c r="A13">
        <v>1</v>
      </c>
      <c r="B13" s="6">
        <v>100</v>
      </c>
      <c r="C13" s="6">
        <v>1500</v>
      </c>
      <c r="D13" s="7">
        <f>D14</f>
        <v>1245</v>
      </c>
      <c r="E13" s="7">
        <f>E14-C8*F4</f>
        <v>54</v>
      </c>
      <c r="F13" s="7">
        <f>B13</f>
        <v>100</v>
      </c>
      <c r="G13" s="7">
        <f>C13</f>
        <v>1500</v>
      </c>
    </row>
    <row r="14" spans="1:10" x14ac:dyDescent="0.25">
      <c r="A14">
        <v>2</v>
      </c>
      <c r="B14" s="7">
        <f>INT(B13+C8*F2*COS(C7*PI()/180))</f>
        <v>1245</v>
      </c>
      <c r="C14" s="7">
        <f>INT(C13-F2*C8*SIN(C7*PI()/180))</f>
        <v>354</v>
      </c>
      <c r="D14" s="7">
        <f>B14</f>
        <v>1245</v>
      </c>
      <c r="E14" s="7">
        <f>C14</f>
        <v>354</v>
      </c>
      <c r="F14" s="7">
        <f>B14</f>
        <v>1245</v>
      </c>
      <c r="G14" s="7">
        <f>C14</f>
        <v>354</v>
      </c>
    </row>
    <row r="15" spans="1:10" x14ac:dyDescent="0.25">
      <c r="A15">
        <v>3</v>
      </c>
      <c r="B15" s="7">
        <f>$B$14+$C$8*$F$3</f>
        <v>1539</v>
      </c>
      <c r="C15" s="7">
        <f>C14</f>
        <v>354</v>
      </c>
      <c r="D15" s="7">
        <f>B15</f>
        <v>1539</v>
      </c>
      <c r="E15" s="7">
        <f>C15</f>
        <v>354</v>
      </c>
      <c r="F15" s="7">
        <f>D13</f>
        <v>1245</v>
      </c>
      <c r="G15" s="7">
        <f>E13</f>
        <v>54</v>
      </c>
    </row>
    <row r="16" spans="1:10" x14ac:dyDescent="0.25">
      <c r="A16">
        <v>4</v>
      </c>
      <c r="B16" s="7">
        <f>$B$13+$C$8*$F$3</f>
        <v>394</v>
      </c>
      <c r="C16" s="7">
        <f>$C$13</f>
        <v>1500</v>
      </c>
      <c r="D16" s="7">
        <f>D15</f>
        <v>1539</v>
      </c>
      <c r="E16" s="7">
        <f>E15-C8*F4</f>
        <v>54</v>
      </c>
      <c r="F16" s="7">
        <f>B13</f>
        <v>100</v>
      </c>
      <c r="G16" s="7">
        <f>$C$13-$F$4*$C$8</f>
        <v>1200</v>
      </c>
    </row>
    <row r="17" spans="1:7" x14ac:dyDescent="0.25">
      <c r="A17">
        <v>5</v>
      </c>
      <c r="B17" s="7">
        <f>B13</f>
        <v>100</v>
      </c>
      <c r="C17" s="7">
        <f t="shared" ref="C17:E17" si="1">C13</f>
        <v>1500</v>
      </c>
      <c r="D17" s="7">
        <f t="shared" si="1"/>
        <v>1245</v>
      </c>
      <c r="E17" s="7">
        <f t="shared" si="1"/>
        <v>54</v>
      </c>
      <c r="F17" s="7">
        <f>F13</f>
        <v>100</v>
      </c>
      <c r="G17" s="7">
        <f>G13</f>
        <v>1500</v>
      </c>
    </row>
  </sheetData>
  <sheetProtection algorithmName="SHA-512" hashValue="hE3/rTdVgtx1IGeX3AOdI8DJ2xwPFPB/atcM19efW3kppuG9/rbf9+H3cV7bOjErt5Z2OC9EkNgKNSQqPAJKkg==" saltValue="GTauvRzorcQTi110BnJ3NQ==" spinCount="100000" sheet="1" objects="1" scenarios="1"/>
  <protectedRanges>
    <protectedRange algorithmName="SHA-512" hashValue="lvprFdbOUyR9PcUjARvmDJ34/+pe2UQk69kH40O7AKkR4uTFRWQMGAtF5zq1LIi6YwwjG6+vZt2EOTMat4EJNA==" saltValue="+X3wSu+lRHgyv+RXnDhklQ==" spinCount="100000" sqref="D13:G17" name="Диапазон1"/>
  </protectedRange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tabSelected="1" zoomScale="40" zoomScaleNormal="40" workbookViewId="0">
      <selection activeCell="AL48" sqref="AL48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Лист2.auto_90cm">
                <anchor moveWithCells="1" sizeWithCells="1">
                  <from>
                    <xdr:col>7</xdr:col>
                    <xdr:colOff>28575</xdr:colOff>
                    <xdr:row>2</xdr:row>
                    <xdr:rowOff>142875</xdr:rowOff>
                  </from>
                  <to>
                    <xdr:col>11</xdr:col>
                    <xdr:colOff>571500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Лист2.cargo1">
                <anchor moveWithCells="1" sizeWithCells="1">
                  <from>
                    <xdr:col>36</xdr:col>
                    <xdr:colOff>76200</xdr:colOff>
                    <xdr:row>2</xdr:row>
                    <xdr:rowOff>28575</xdr:rowOff>
                  </from>
                  <to>
                    <xdr:col>41</xdr:col>
                    <xdr:colOff>47625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Лист2.cargo2_load">
                <anchor moveWithCells="1" sizeWithCells="1">
                  <from>
                    <xdr:col>42</xdr:col>
                    <xdr:colOff>19050</xdr:colOff>
                    <xdr:row>2</xdr:row>
                    <xdr:rowOff>19050</xdr:rowOff>
                  </from>
                  <to>
                    <xdr:col>47</xdr:col>
                    <xdr:colOff>19050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Лист2.Updating">
                <anchor moveWithCells="1" sizeWithCells="1">
                  <from>
                    <xdr:col>1</xdr:col>
                    <xdr:colOff>28575</xdr:colOff>
                    <xdr:row>3</xdr:row>
                    <xdr:rowOff>0</xdr:rowOff>
                  </from>
                  <to>
                    <xdr:col>5</xdr:col>
                    <xdr:colOff>600075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B1"/>
  <sheetViews>
    <sheetView workbookViewId="0">
      <selection activeCell="B13" sqref="B13"/>
    </sheetView>
  </sheetViews>
  <sheetFormatPr defaultRowHeight="15" x14ac:dyDescent="0.25"/>
  <cols>
    <col min="1" max="1" width="17.42578125" bestFit="1" customWidth="1"/>
  </cols>
  <sheetData>
    <row r="1" spans="1:2" x14ac:dyDescent="0.25">
      <c r="A1" t="s">
        <v>16</v>
      </c>
      <c r="B1">
        <v>1984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Aux</vt:lpstr>
      <vt:lpstr>Truck_90cub_m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ut48</cp:lastModifiedBy>
  <dcterms:created xsi:type="dcterms:W3CDTF">2024-08-22T16:55:07Z</dcterms:created>
  <dcterms:modified xsi:type="dcterms:W3CDTF">2024-09-10T10:56:44Z</dcterms:modified>
</cp:coreProperties>
</file>